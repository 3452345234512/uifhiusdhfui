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YandexDisk\Яндекс диск\!!!!!ДЕСКТОП ПЯТНИЦКАЯ\Hash2Cash\"/>
    </mc:Choice>
  </mc:AlternateContent>
  <xr:revisionPtr revIDLastSave="0" documentId="13_ncr:1_{B36A0F21-F2DA-4619-9CEC-FDE3E165A93A}" xr6:coauthVersionLast="47" xr6:coauthVersionMax="47" xr10:uidLastSave="{00000000-0000-0000-0000-000000000000}"/>
  <bookViews>
    <workbookView xWindow="5640" yWindow="165" windowWidth="27120" windowHeight="1896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1" l="1"/>
  <c r="E29" i="1"/>
  <c r="D30" i="1"/>
  <c r="C30" i="1"/>
  <c r="B30" i="1"/>
  <c r="C28" i="1"/>
  <c r="D28" i="1"/>
  <c r="D29" i="1" s="1"/>
  <c r="C29" i="1"/>
  <c r="B29" i="1"/>
  <c r="B28" i="1"/>
  <c r="B18" i="1"/>
  <c r="B24" i="1" s="1"/>
  <c r="B15" i="1"/>
  <c r="B16" i="1" s="1"/>
  <c r="B20" i="1" s="1"/>
  <c r="B25" i="1"/>
  <c r="C25" i="1" s="1"/>
  <c r="B26" i="1" l="1"/>
  <c r="D20" i="1"/>
  <c r="B34" i="1" s="1"/>
  <c r="D25" i="1"/>
  <c r="E25" i="1" s="1"/>
  <c r="D16" i="1"/>
  <c r="C24" i="1"/>
  <c r="B23" i="1" l="1"/>
  <c r="D24" i="1"/>
  <c r="D26" i="1" s="1"/>
  <c r="D27" i="1" s="1"/>
  <c r="C26" i="1"/>
  <c r="C27" i="1" s="1"/>
  <c r="B27" i="1"/>
  <c r="E24" i="1"/>
  <c r="C23" i="1"/>
  <c r="D23" i="1"/>
  <c r="E27" i="1" l="1"/>
  <c r="E26" i="1"/>
  <c r="E23" i="1"/>
  <c r="B35" i="1"/>
  <c r="B36" i="1" s="1"/>
  <c r="B31" i="1" l="1"/>
  <c r="C31" i="1" s="1"/>
  <c r="D31" i="1" s="1"/>
  <c r="E31" i="1" s="1"/>
  <c r="E30" i="1"/>
</calcChain>
</file>

<file path=xl/sharedStrings.xml><?xml version="1.0" encoding="utf-8"?>
<sst xmlns="http://schemas.openxmlformats.org/spreadsheetml/2006/main" count="45" uniqueCount="43">
  <si>
    <t>CAPEX</t>
  </si>
  <si>
    <t>ВВЕДИТЕ ДАННЫЕ:</t>
  </si>
  <si>
    <t>КУРС 1 USD в рублях:</t>
  </si>
  <si>
    <t>рыночный, при обмене USDT/Рубль</t>
  </si>
  <si>
    <t>Цена 1 BTC в USD</t>
  </si>
  <si>
    <t>биржа</t>
  </si>
  <si>
    <t>Стоимость 1 kWt в рублях с НДС</t>
  </si>
  <si>
    <t>1 TH майнит BTC за 24 часа в USD</t>
  </si>
  <si>
    <t>https://minerstat.com/coin/BTC?lang=ru</t>
  </si>
  <si>
    <t>Данные IBMM</t>
  </si>
  <si>
    <t>1 Асик Т21 мощность ТН/час</t>
  </si>
  <si>
    <t>Прибыль в цене оборудования в %</t>
  </si>
  <si>
    <t>площадка КАМАЗ</t>
  </si>
  <si>
    <t xml:space="preserve">Стоимость S21+ (395 TH) </t>
  </si>
  <si>
    <t>Норма прибыли за управление проектом</t>
  </si>
  <si>
    <t xml:space="preserve"> - для учета при формировании цены монеты</t>
  </si>
  <si>
    <t xml:space="preserve"> - уменьшаем чистую прибыль в свою пользу, перед выплатой дивидендов</t>
  </si>
  <si>
    <t>Контейнер</t>
  </si>
  <si>
    <t>Количество Асиков для закупки</t>
  </si>
  <si>
    <t>Стоимость Асиков</t>
  </si>
  <si>
    <t>Итого:</t>
  </si>
  <si>
    <t>Общая мощность проекта в ТН</t>
  </si>
  <si>
    <t>или</t>
  </si>
  <si>
    <t>Прогноз работы проекта на 3 года:</t>
  </si>
  <si>
    <t>Выручка в USD</t>
  </si>
  <si>
    <t>Расходы на ЭЭ</t>
  </si>
  <si>
    <t>Прибыль проекта</t>
  </si>
  <si>
    <t>Доход фаундеров за управление проектом</t>
  </si>
  <si>
    <t>Доход фаундеров при продаже монет</t>
  </si>
  <si>
    <t>Рост сложности сети не учитываем, считаем, что будет уравновешен ростом курса BTC (максимальная корреляция в плохую сторону 10% в год)</t>
  </si>
  <si>
    <t>Энергопотребление Асика</t>
  </si>
  <si>
    <t>Ват</t>
  </si>
  <si>
    <t>Итого доход ФАУНДЕРОВ:</t>
  </si>
  <si>
    <t>Сальдо ФАУНДЕРОВ:</t>
  </si>
  <si>
    <t>годовых</t>
  </si>
  <si>
    <t>Доходность на 1 монетку для клиента:</t>
  </si>
  <si>
    <t>Цена покупки</t>
  </si>
  <si>
    <t>Цена продажи 1 монетки (1 монетки +- 1 ТН):</t>
  </si>
  <si>
    <t>сценарий продажи по 33% продажи эмиссии в год</t>
  </si>
  <si>
    <t>Прибыль в год</t>
  </si>
  <si>
    <t>Доходность:</t>
  </si>
  <si>
    <t>Выплаты владельцам монет</t>
  </si>
  <si>
    <t>Остаток прибыли у ФАУНДЕРОВ (непроданные монеты)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</si>
</sst>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#,##0.00\ &quot;₽&quot;;[Red]\-#,##0.00\ &quot;₽&quot;"/>
    <numFmt numFmtId="164" formatCode="#,##0.00\ &quot;₽&quot;"/>
    <numFmt numFmtId="165" formatCode="#,##0\ &quot;₽&quot;"/>
    <numFmt numFmtId="166" formatCode="[$$-C09]#,##0"/>
    <numFmt numFmtId="167" formatCode="[$$-409]#,##0.00"/>
    <numFmt numFmtId="168" formatCode="[$$-409]#,##0.0000"/>
    <numFmt numFmtId="169" formatCode="[$$-409]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i/>
      <u/>
      <sz val="11"/>
      <color theme="1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i/>
      <sz val="14"/>
      <color theme="8" tint="-0.499984740745262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0" xfId="0" applyFont="1"/>
    <xf numFmtId="164" fontId="3" fillId="0" borderId="0" xfId="0" applyNumberFormat="1" applyFont="1"/>
    <xf numFmtId="3" fontId="3" fillId="0" borderId="0" xfId="0" applyNumberFormat="1" applyFont="1"/>
    <xf numFmtId="8" fontId="3" fillId="0" borderId="0" xfId="0" applyNumberFormat="1" applyFont="1"/>
    <xf numFmtId="0" fontId="4" fillId="0" borderId="0" xfId="0" applyFont="1"/>
    <xf numFmtId="0" fontId="2" fillId="2" borderId="1" xfId="0" applyFont="1" applyFill="1" applyBorder="1"/>
    <xf numFmtId="164" fontId="3" fillId="2" borderId="1" xfId="0" applyNumberFormat="1" applyFont="1" applyFill="1" applyBorder="1"/>
    <xf numFmtId="0" fontId="3" fillId="2" borderId="1" xfId="0" applyFont="1" applyFill="1" applyBorder="1"/>
    <xf numFmtId="165" fontId="3" fillId="2" borderId="1" xfId="0" applyNumberFormat="1" applyFont="1" applyFill="1" applyBorder="1"/>
    <xf numFmtId="166" fontId="3" fillId="2" borderId="1" xfId="0" applyNumberFormat="1" applyFont="1" applyFill="1" applyBorder="1"/>
    <xf numFmtId="9" fontId="3" fillId="2" borderId="1" xfId="1" applyFont="1" applyFill="1" applyBorder="1"/>
    <xf numFmtId="0" fontId="6" fillId="0" borderId="0" xfId="2" applyFont="1"/>
    <xf numFmtId="165" fontId="3" fillId="0" borderId="0" xfId="0" applyNumberFormat="1" applyFont="1"/>
    <xf numFmtId="0" fontId="3" fillId="0" borderId="1" xfId="0" applyFont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3" fontId="3" fillId="0" borderId="1" xfId="0" applyNumberFormat="1" applyFont="1" applyBorder="1"/>
    <xf numFmtId="0" fontId="7" fillId="0" borderId="1" xfId="0" applyFont="1" applyBorder="1"/>
    <xf numFmtId="3" fontId="3" fillId="2" borderId="1" xfId="0" applyNumberFormat="1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4" fillId="3" borderId="1" xfId="0" applyFont="1" applyFill="1" applyBorder="1" applyAlignment="1">
      <alignment horizontal="center"/>
    </xf>
    <xf numFmtId="166" fontId="7" fillId="3" borderId="1" xfId="0" applyNumberFormat="1" applyFont="1" applyFill="1" applyBorder="1" applyAlignment="1">
      <alignment horizontal="center"/>
    </xf>
    <xf numFmtId="0" fontId="8" fillId="0" borderId="0" xfId="0" applyFont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7" fillId="4" borderId="1" xfId="0" applyFont="1" applyFill="1" applyBorder="1"/>
    <xf numFmtId="168" fontId="3" fillId="2" borderId="1" xfId="0" applyNumberFormat="1" applyFont="1" applyFill="1" applyBorder="1" applyAlignment="1">
      <alignment horizontal="center"/>
    </xf>
    <xf numFmtId="169" fontId="3" fillId="4" borderId="1" xfId="0" applyNumberFormat="1" applyFont="1" applyFill="1" applyBorder="1"/>
    <xf numFmtId="166" fontId="3" fillId="0" borderId="0" xfId="0" applyNumberFormat="1" applyFont="1"/>
    <xf numFmtId="169" fontId="3" fillId="0" borderId="0" xfId="0" applyNumberFormat="1" applyFont="1"/>
    <xf numFmtId="0" fontId="7" fillId="5" borderId="1" xfId="0" applyFont="1" applyFill="1" applyBorder="1" applyAlignment="1">
      <alignment horizontal="center"/>
    </xf>
    <xf numFmtId="169" fontId="7" fillId="5" borderId="1" xfId="0" applyNumberFormat="1" applyFont="1" applyFill="1" applyBorder="1"/>
    <xf numFmtId="0" fontId="3" fillId="0" borderId="2" xfId="0" applyFont="1" applyBorder="1"/>
    <xf numFmtId="165" fontId="3" fillId="0" borderId="2" xfId="0" applyNumberFormat="1" applyFont="1" applyBorder="1"/>
    <xf numFmtId="0" fontId="3" fillId="6" borderId="1" xfId="0" applyFont="1" applyFill="1" applyBorder="1"/>
    <xf numFmtId="165" fontId="7" fillId="6" borderId="1" xfId="0" applyNumberFormat="1" applyFont="1" applyFill="1" applyBorder="1"/>
    <xf numFmtId="0" fontId="3" fillId="6" borderId="1" xfId="0" applyFont="1" applyFill="1" applyBorder="1" applyAlignment="1">
      <alignment horizontal="center"/>
    </xf>
    <xf numFmtId="169" fontId="7" fillId="6" borderId="1" xfId="0" applyNumberFormat="1" applyFont="1" applyFill="1" applyBorder="1" applyAlignment="1">
      <alignment horizontal="center"/>
    </xf>
    <xf numFmtId="169" fontId="7" fillId="5" borderId="2" xfId="0" applyNumberFormat="1" applyFont="1" applyFill="1" applyBorder="1"/>
    <xf numFmtId="10" fontId="7" fillId="2" borderId="3" xfId="1" applyNumberFormat="1" applyFont="1" applyFill="1" applyBorder="1"/>
    <xf numFmtId="0" fontId="7" fillId="2" borderId="4" xfId="0" applyFont="1" applyFill="1" applyBorder="1"/>
    <xf numFmtId="0" fontId="3" fillId="2" borderId="0" xfId="0" applyFont="1" applyFill="1"/>
    <xf numFmtId="169" fontId="3" fillId="2" borderId="0" xfId="0" applyNumberFormat="1" applyFont="1" applyFill="1"/>
    <xf numFmtId="169" fontId="7" fillId="2" borderId="0" xfId="0" applyNumberFormat="1" applyFont="1" applyFill="1"/>
    <xf numFmtId="0" fontId="3" fillId="7" borderId="1" xfId="0" applyFont="1" applyFill="1" applyBorder="1"/>
    <xf numFmtId="169" fontId="3" fillId="7" borderId="1" xfId="0" applyNumberFormat="1" applyFont="1" applyFill="1" applyBorder="1"/>
    <xf numFmtId="0" fontId="7" fillId="7" borderId="1" xfId="0" applyFont="1" applyFill="1" applyBorder="1"/>
    <xf numFmtId="0" fontId="4" fillId="8" borderId="1" xfId="0" applyFont="1" applyFill="1" applyBorder="1"/>
    <xf numFmtId="3" fontId="4" fillId="8" borderId="1" xfId="0" applyNumberFormat="1" applyFont="1" applyFill="1" applyBorder="1"/>
    <xf numFmtId="169" fontId="3" fillId="7" borderId="1" xfId="0" applyNumberFormat="1" applyFont="1" applyFill="1" applyBorder="1" applyAlignment="1">
      <alignment horizontal="center"/>
    </xf>
    <xf numFmtId="167" fontId="3" fillId="7" borderId="1" xfId="0" applyNumberFormat="1" applyFont="1" applyFill="1" applyBorder="1" applyAlignment="1">
      <alignment horizontal="center"/>
    </xf>
    <xf numFmtId="10" fontId="7" fillId="7" borderId="1" xfId="1" applyNumberFormat="1" applyFont="1" applyFill="1" applyBorder="1" applyAlignment="1">
      <alignment horizontal="center"/>
    </xf>
  </cellXfs>
  <cellStyles count="3">
    <cellStyle name="Гиперссылка" xfId="2" builtinId="8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inerstat.com/coin/BTC?lang=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D35" sqref="D35"/>
    </sheetView>
  </sheetViews>
  <sheetFormatPr defaultRowHeight="18.75" x14ac:dyDescent="0.3"/>
  <cols>
    <col min="1" max="1" width="94.7109375" style="1" bestFit="1" customWidth="1"/>
    <col min="2" max="2" width="18.28515625" style="2" bestFit="1" customWidth="1"/>
    <col min="3" max="3" width="17.28515625" style="1" customWidth="1"/>
    <col min="4" max="4" width="16.7109375" style="1" customWidth="1"/>
    <col min="5" max="6" width="14" style="1" bestFit="1" customWidth="1"/>
    <col min="7" max="16384" width="9.140625" style="1"/>
  </cols>
  <sheetData>
    <row r="1" spans="1:6" x14ac:dyDescent="0.3">
      <c r="A1" s="6" t="s">
        <v>1</v>
      </c>
      <c r="B1" s="7"/>
      <c r="C1" s="24" t="s">
        <v>29</v>
      </c>
    </row>
    <row r="2" spans="1:6" x14ac:dyDescent="0.3">
      <c r="A2" s="8" t="s">
        <v>2</v>
      </c>
      <c r="B2" s="9">
        <v>82</v>
      </c>
      <c r="C2" s="5" t="s">
        <v>3</v>
      </c>
    </row>
    <row r="3" spans="1:6" x14ac:dyDescent="0.3">
      <c r="A3" s="8" t="s">
        <v>4</v>
      </c>
      <c r="B3" s="10">
        <v>112000</v>
      </c>
      <c r="C3" s="5" t="s">
        <v>5</v>
      </c>
    </row>
    <row r="4" spans="1:6" x14ac:dyDescent="0.3">
      <c r="A4" s="8" t="s">
        <v>6</v>
      </c>
      <c r="B4" s="7">
        <v>5.4</v>
      </c>
      <c r="C4" s="5" t="s">
        <v>12</v>
      </c>
    </row>
    <row r="5" spans="1:6" x14ac:dyDescent="0.3">
      <c r="A5" s="8" t="s">
        <v>7</v>
      </c>
      <c r="B5" s="28">
        <v>4.7E-2</v>
      </c>
      <c r="C5" s="12" t="s">
        <v>8</v>
      </c>
    </row>
    <row r="6" spans="1:6" x14ac:dyDescent="0.3">
      <c r="A6" s="8" t="s">
        <v>13</v>
      </c>
      <c r="B6" s="9">
        <v>533226</v>
      </c>
      <c r="C6" s="5" t="s">
        <v>9</v>
      </c>
    </row>
    <row r="7" spans="1:6" x14ac:dyDescent="0.3">
      <c r="A7" s="8" t="s">
        <v>10</v>
      </c>
      <c r="B7" s="19">
        <v>395</v>
      </c>
      <c r="C7" s="5"/>
    </row>
    <row r="8" spans="1:6" x14ac:dyDescent="0.3">
      <c r="A8" s="8" t="s">
        <v>30</v>
      </c>
      <c r="B8" s="19">
        <v>5550</v>
      </c>
      <c r="C8" s="5" t="s">
        <v>31</v>
      </c>
    </row>
    <row r="9" spans="1:6" x14ac:dyDescent="0.3">
      <c r="A9" s="8" t="s">
        <v>11</v>
      </c>
      <c r="B9" s="11">
        <v>0.3</v>
      </c>
      <c r="C9" s="5" t="s">
        <v>15</v>
      </c>
    </row>
    <row r="10" spans="1:6" x14ac:dyDescent="0.3">
      <c r="A10" s="8" t="s">
        <v>14</v>
      </c>
      <c r="B10" s="11">
        <v>0.15</v>
      </c>
      <c r="C10" s="5" t="s">
        <v>16</v>
      </c>
    </row>
    <row r="12" spans="1:6" x14ac:dyDescent="0.3">
      <c r="A12" s="18" t="s">
        <v>0</v>
      </c>
      <c r="B12" s="15"/>
    </row>
    <row r="13" spans="1:6" x14ac:dyDescent="0.3">
      <c r="A13" s="14" t="s">
        <v>17</v>
      </c>
      <c r="B13" s="16">
        <v>20000000</v>
      </c>
    </row>
    <row r="14" spans="1:6" x14ac:dyDescent="0.3">
      <c r="A14" s="14" t="s">
        <v>18</v>
      </c>
      <c r="B14" s="17">
        <v>200</v>
      </c>
      <c r="F14" s="3"/>
    </row>
    <row r="15" spans="1:6" x14ac:dyDescent="0.3">
      <c r="A15" s="34" t="s">
        <v>19</v>
      </c>
      <c r="B15" s="35">
        <f>B14*B6</f>
        <v>106645200</v>
      </c>
      <c r="F15" s="3"/>
    </row>
    <row r="16" spans="1:6" x14ac:dyDescent="0.3">
      <c r="A16" s="36" t="s">
        <v>20</v>
      </c>
      <c r="B16" s="37">
        <f>B15+B13</f>
        <v>126645200</v>
      </c>
      <c r="C16" s="38" t="s">
        <v>22</v>
      </c>
      <c r="D16" s="39">
        <f>B16/B2</f>
        <v>1544453.6585365853</v>
      </c>
      <c r="F16" s="3"/>
    </row>
    <row r="17" spans="1:6" x14ac:dyDescent="0.3">
      <c r="B17" s="13"/>
    </row>
    <row r="18" spans="1:6" x14ac:dyDescent="0.3">
      <c r="A18" s="49" t="s">
        <v>21</v>
      </c>
      <c r="B18" s="50">
        <f>B14*B7</f>
        <v>79000</v>
      </c>
    </row>
    <row r="19" spans="1:6" x14ac:dyDescent="0.3">
      <c r="B19" s="13"/>
    </row>
    <row r="20" spans="1:6" x14ac:dyDescent="0.3">
      <c r="A20" s="20" t="s">
        <v>37</v>
      </c>
      <c r="B20" s="21">
        <f>(B16+B16*B9)/B18</f>
        <v>2084.0349367088606</v>
      </c>
      <c r="C20" s="22" t="s">
        <v>22</v>
      </c>
      <c r="D20" s="23">
        <f>B20/B2</f>
        <v>25.415060203766593</v>
      </c>
      <c r="F20" s="30"/>
    </row>
    <row r="21" spans="1:6" x14ac:dyDescent="0.3">
      <c r="B21" s="13"/>
    </row>
    <row r="22" spans="1:6" x14ac:dyDescent="0.3">
      <c r="A22" s="27" t="s">
        <v>23</v>
      </c>
      <c r="B22" s="26">
        <v>2026</v>
      </c>
      <c r="C22" s="26">
        <v>2027</v>
      </c>
      <c r="D22" s="26">
        <v>2028</v>
      </c>
      <c r="E22" s="32" t="s">
        <v>20</v>
      </c>
    </row>
    <row r="23" spans="1:6" x14ac:dyDescent="0.3">
      <c r="A23" s="25" t="s">
        <v>28</v>
      </c>
      <c r="B23" s="29">
        <f>B18/3*D20</f>
        <v>669263.25203252025</v>
      </c>
      <c r="C23" s="29">
        <f>B23</f>
        <v>669263.25203252025</v>
      </c>
      <c r="D23" s="29">
        <f>B23</f>
        <v>669263.25203252025</v>
      </c>
      <c r="E23" s="33">
        <f>B23+C23+D23</f>
        <v>2007789.7560975607</v>
      </c>
      <c r="F23" s="5" t="s">
        <v>38</v>
      </c>
    </row>
    <row r="24" spans="1:6" x14ac:dyDescent="0.3">
      <c r="A24" s="25" t="s">
        <v>24</v>
      </c>
      <c r="B24" s="29">
        <f>B18*B5*365</f>
        <v>1355245</v>
      </c>
      <c r="C24" s="29">
        <f>B24*90%</f>
        <v>1219720.5</v>
      </c>
      <c r="D24" s="29">
        <f>C24*90%</f>
        <v>1097748.45</v>
      </c>
      <c r="E24" s="33">
        <f t="shared" ref="E24:E30" si="0">B24+C24+D24</f>
        <v>3672713.95</v>
      </c>
    </row>
    <row r="25" spans="1:6" x14ac:dyDescent="0.3">
      <c r="A25" s="25" t="s">
        <v>25</v>
      </c>
      <c r="B25" s="29">
        <f>B8/1000*24*365*B14*B4/B2</f>
        <v>640334.63414634136</v>
      </c>
      <c r="C25" s="29">
        <f>B25</f>
        <v>640334.63414634136</v>
      </c>
      <c r="D25" s="29">
        <f>C25</f>
        <v>640334.63414634136</v>
      </c>
      <c r="E25" s="33">
        <f t="shared" si="0"/>
        <v>1921003.9024390241</v>
      </c>
      <c r="F25" s="4"/>
    </row>
    <row r="26" spans="1:6" x14ac:dyDescent="0.3">
      <c r="A26" s="25" t="s">
        <v>26</v>
      </c>
      <c r="B26" s="29">
        <f>B24-B25</f>
        <v>714910.36585365864</v>
      </c>
      <c r="C26" s="29">
        <f t="shared" ref="C26:D26" si="1">C24-C25</f>
        <v>579385.86585365864</v>
      </c>
      <c r="D26" s="29">
        <f t="shared" si="1"/>
        <v>457413.8158536586</v>
      </c>
      <c r="E26" s="33">
        <f t="shared" si="0"/>
        <v>1751710.0475609759</v>
      </c>
    </row>
    <row r="27" spans="1:6" x14ac:dyDescent="0.3">
      <c r="A27" s="25" t="s">
        <v>27</v>
      </c>
      <c r="B27" s="29">
        <f>B26*B10</f>
        <v>107236.55487804879</v>
      </c>
      <c r="C27" s="29">
        <f>C26*B10</f>
        <v>86907.8798780488</v>
      </c>
      <c r="D27" s="29">
        <f>D26*B10</f>
        <v>68612.07237804879</v>
      </c>
      <c r="E27" s="33">
        <f t="shared" si="0"/>
        <v>262756.50713414641</v>
      </c>
    </row>
    <row r="28" spans="1:6" x14ac:dyDescent="0.3">
      <c r="A28" s="25" t="s">
        <v>41</v>
      </c>
      <c r="B28" s="29">
        <f>(B26-B27)/3</f>
        <v>202557.93699186994</v>
      </c>
      <c r="C28" s="29">
        <f>(C26-C27)/3*2</f>
        <v>328318.65731707326</v>
      </c>
      <c r="D28" s="29">
        <f>(D26-D27)</f>
        <v>388801.74347560981</v>
      </c>
      <c r="E28" s="33">
        <f t="shared" si="0"/>
        <v>919678.33778455306</v>
      </c>
    </row>
    <row r="29" spans="1:6" x14ac:dyDescent="0.3">
      <c r="A29" s="25" t="s">
        <v>42</v>
      </c>
      <c r="B29" s="29">
        <f>B26-B27-B28</f>
        <v>405115.87398373988</v>
      </c>
      <c r="C29" s="29">
        <f>C26-C27-C28</f>
        <v>164159.3286585366</v>
      </c>
      <c r="D29" s="29">
        <f>D26-D27-D28</f>
        <v>0</v>
      </c>
      <c r="E29" s="33">
        <f t="shared" si="0"/>
        <v>569275.20264227642</v>
      </c>
    </row>
    <row r="30" spans="1:6" ht="19.5" thickBot="1" x14ac:dyDescent="0.35">
      <c r="A30" s="25" t="s">
        <v>32</v>
      </c>
      <c r="B30" s="29">
        <f>B23+B27+B29</f>
        <v>1181615.680894309</v>
      </c>
      <c r="C30" s="29">
        <f>C23+C27+C29</f>
        <v>920330.46056910558</v>
      </c>
      <c r="D30" s="29">
        <f>D23+D27+D29</f>
        <v>737875.32441056904</v>
      </c>
      <c r="E30" s="40">
        <f t="shared" si="0"/>
        <v>2839821.4658739837</v>
      </c>
    </row>
    <row r="31" spans="1:6" ht="19.5" thickBot="1" x14ac:dyDescent="0.35">
      <c r="A31" s="43" t="s">
        <v>33</v>
      </c>
      <c r="B31" s="44">
        <f>B30-D16</f>
        <v>-362837.97764227632</v>
      </c>
      <c r="C31" s="44">
        <f>B31+C30</f>
        <v>557492.48292682925</v>
      </c>
      <c r="D31" s="45">
        <f>C31+D30</f>
        <v>1295367.8073373982</v>
      </c>
      <c r="E31" s="41">
        <f>D31/D16/3</f>
        <v>0.27957411782856528</v>
      </c>
      <c r="F31" s="42" t="s">
        <v>34</v>
      </c>
    </row>
    <row r="32" spans="1:6" x14ac:dyDescent="0.3">
      <c r="B32" s="31"/>
      <c r="C32" s="31"/>
      <c r="D32" s="31"/>
      <c r="E32" s="31"/>
    </row>
    <row r="33" spans="1:5" x14ac:dyDescent="0.3">
      <c r="A33" s="48" t="s">
        <v>35</v>
      </c>
      <c r="B33" s="47"/>
      <c r="C33" s="31"/>
      <c r="D33" s="31"/>
      <c r="E33" s="31"/>
    </row>
    <row r="34" spans="1:5" x14ac:dyDescent="0.3">
      <c r="A34" s="46" t="s">
        <v>36</v>
      </c>
      <c r="B34" s="51">
        <f>D20</f>
        <v>25.415060203766593</v>
      </c>
      <c r="C34" s="31"/>
      <c r="D34" s="31"/>
      <c r="E34" s="31"/>
    </row>
    <row r="35" spans="1:5" x14ac:dyDescent="0.3">
      <c r="A35" s="46" t="s">
        <v>39</v>
      </c>
      <c r="B35" s="52">
        <f>(B26-B27)/B18</f>
        <v>7.6920735566532885</v>
      </c>
      <c r="C35" s="31"/>
      <c r="D35" s="31"/>
      <c r="E35" s="31"/>
    </row>
    <row r="36" spans="1:5" x14ac:dyDescent="0.3">
      <c r="A36" s="48" t="s">
        <v>40</v>
      </c>
      <c r="B36" s="53">
        <f>B35/B34</f>
        <v>0.30265808914012721</v>
      </c>
      <c r="C36" s="31"/>
      <c r="D36" s="31"/>
      <c r="E36" s="31"/>
    </row>
  </sheetData>
  <hyperlinks>
    <hyperlink ref="C5" r:id="rId1" xr:uid="{540A71D3-5D58-4BA8-9ACF-BABEF25A1E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Михаил Травкин</cp:lastModifiedBy>
  <dcterms:created xsi:type="dcterms:W3CDTF">2015-06-05T18:19:34Z</dcterms:created>
  <dcterms:modified xsi:type="dcterms:W3CDTF">2025-10-21T18:51:12Z</dcterms:modified>
</cp:coreProperties>
</file>